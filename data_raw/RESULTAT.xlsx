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genomgång" sheetId="2" r:id="rId6"/>
    <sheet state="visible" name="Ranking 2 veckors" sheetId="3" r:id="rId7"/>
    <sheet state="visible" name="Ranking 4 veckors" sheetId="4" r:id="rId8"/>
  </sheets>
  <definedNames/>
  <calcPr/>
</workbook>
</file>

<file path=xl/sharedStrings.xml><?xml version="1.0" encoding="utf-8"?>
<sst xmlns="http://schemas.openxmlformats.org/spreadsheetml/2006/main" count="393" uniqueCount="226">
  <si>
    <t>PeppI (7 st)</t>
  </si>
  <si>
    <t>Høvdingar (20 st)</t>
  </si>
  <si>
    <t>Phadder 1 period (40 st, 2 per grupp)</t>
  </si>
  <si>
    <t>Phadder 2 perioder (5*10 + 3 extra i intis)</t>
  </si>
  <si>
    <t>GrillI</t>
  </si>
  <si>
    <t xml:space="preserve">SexI </t>
  </si>
  <si>
    <t>perioder:</t>
  </si>
  <si>
    <t>Nekade</t>
  </si>
  <si>
    <t xml:space="preserve">Ebba Schneider </t>
  </si>
  <si>
    <t>Ruben Asarnoj (TEMA)</t>
  </si>
  <si>
    <t>Astrid Enerbäck (tema)</t>
  </si>
  <si>
    <t>(Event)  Ella Eiemarker</t>
  </si>
  <si>
    <t>Gustav Lundqvist ØG</t>
  </si>
  <si>
    <t xml:space="preserve">Märta Venema Holmgren </t>
  </si>
  <si>
    <t>Loay Ruhhal</t>
  </si>
  <si>
    <t xml:space="preserve">Karl Hollander </t>
  </si>
  <si>
    <t>Hanna Widlund</t>
  </si>
  <si>
    <t>Julia Nilsson (intis-phadder)</t>
  </si>
  <si>
    <t>(Event) Marcus Ferm</t>
  </si>
  <si>
    <t>Willem Wirsén VØG</t>
  </si>
  <si>
    <t>Carl Almtun</t>
  </si>
  <si>
    <t xml:space="preserve">Fina Molin </t>
  </si>
  <si>
    <t>Maja Cedergren</t>
  </si>
  <si>
    <t>Felix Vungi</t>
  </si>
  <si>
    <t>Allison Spicer (Intis)</t>
  </si>
  <si>
    <t>(Event) Anton Wolf</t>
  </si>
  <si>
    <t>Axel vice Hainzl ketchup VØG</t>
  </si>
  <si>
    <t>Maria Karlsson</t>
  </si>
  <si>
    <t>Elias Kjellander</t>
  </si>
  <si>
    <t>Elsa Kjellberg</t>
  </si>
  <si>
    <t>Norah Stenström (inits) (TEMA)</t>
  </si>
  <si>
    <t>David Bernvetter (tema)</t>
  </si>
  <si>
    <t>(Event) Jakob Sundström</t>
  </si>
  <si>
    <t xml:space="preserve">Jonathan Norrman </t>
  </si>
  <si>
    <t>Rebecca Svahn</t>
  </si>
  <si>
    <t>Elias Garmland</t>
  </si>
  <si>
    <t xml:space="preserve">Elise Edler </t>
  </si>
  <si>
    <t>Linn Lynch (TEMA)</t>
  </si>
  <si>
    <t>Märta Marklinder (tema)</t>
  </si>
  <si>
    <t>(Event )Irma Krook</t>
  </si>
  <si>
    <t xml:space="preserve">Martin Eriksson </t>
  </si>
  <si>
    <t>Emma Isaksson Jonek</t>
  </si>
  <si>
    <t>Filip Ohlsson</t>
  </si>
  <si>
    <t xml:space="preserve">Marie Eklund </t>
  </si>
  <si>
    <t>Wilmer Ahnfelt (TEMA)</t>
  </si>
  <si>
    <t>Jonna Angel (Tema)</t>
  </si>
  <si>
    <t xml:space="preserve">(Event) Benjamin Lindborg </t>
  </si>
  <si>
    <t xml:space="preserve">Edvin Sebelius </t>
  </si>
  <si>
    <t>Gustav Hellqvist</t>
  </si>
  <si>
    <t xml:space="preserve">Viktor Karlsson </t>
  </si>
  <si>
    <t xml:space="preserve">Carl Johan Björnelid </t>
  </si>
  <si>
    <t>Emile Södergren</t>
  </si>
  <si>
    <t>Martin Araskog (tema)</t>
  </si>
  <si>
    <t>Hugo Westholm</t>
  </si>
  <si>
    <t xml:space="preserve">Jacob Fransson </t>
  </si>
  <si>
    <t xml:space="preserve">Simon Wernersson </t>
  </si>
  <si>
    <t>Julius von Beetzen</t>
  </si>
  <si>
    <t>Wilma Bergman (TEMA)</t>
  </si>
  <si>
    <t>Isac Berkani (tema)</t>
  </si>
  <si>
    <t>Oscar Kjellman</t>
  </si>
  <si>
    <t xml:space="preserve">Viggo Deltinger </t>
  </si>
  <si>
    <t>Sigrid Hornemann Larsen</t>
  </si>
  <si>
    <t xml:space="preserve">Carl Stenblom </t>
  </si>
  <si>
    <t>Freja Linusson Hahn (intis) (bollplank tema, høvding vanlig grupp)</t>
  </si>
  <si>
    <t>Elina Appenrodt (tema)</t>
  </si>
  <si>
    <t>Svante Björkborg</t>
  </si>
  <si>
    <t>Erik Lundquist</t>
  </si>
  <si>
    <t>Alice Blomberg</t>
  </si>
  <si>
    <t xml:space="preserve">Vilhelm Ahlqvist </t>
  </si>
  <si>
    <t>Erik Österberg</t>
  </si>
  <si>
    <t>Tom Carlander</t>
  </si>
  <si>
    <t>Ana Corloka</t>
  </si>
  <si>
    <t>Arvid Dannemann</t>
  </si>
  <si>
    <t xml:space="preserve">Maximilian Von Gross </t>
  </si>
  <si>
    <t>Olle Sellén (NO SHOW)</t>
  </si>
  <si>
    <t>Oskar Andersson</t>
  </si>
  <si>
    <t>Elliot Hermansson (tema)</t>
  </si>
  <si>
    <t>Martin Petterson</t>
  </si>
  <si>
    <t>Filip Erik-Samuel Boström</t>
  </si>
  <si>
    <t xml:space="preserve">Elsa Mauléon Stenudd </t>
  </si>
  <si>
    <t>Ilaria Murzilli (No Show)</t>
  </si>
  <si>
    <t>Jesper Areskoug (TEMA)</t>
  </si>
  <si>
    <t xml:space="preserve">Le Vy Do (Sue) </t>
  </si>
  <si>
    <t>Olivera Stupić (Intis)</t>
  </si>
  <si>
    <t xml:space="preserve">Lukas Fredin </t>
  </si>
  <si>
    <t>Miriam Herulf</t>
  </si>
  <si>
    <t>Carl Ehrström Eklöf (No show)</t>
  </si>
  <si>
    <t>Elis Ramberg (TEMA)</t>
  </si>
  <si>
    <t>Nelly Hesselstedt (tema)</t>
  </si>
  <si>
    <t>Erik Svedman</t>
  </si>
  <si>
    <t>Emil Wetterhall</t>
  </si>
  <si>
    <t xml:space="preserve">Linus Sundström (GrillI) </t>
  </si>
  <si>
    <t>Gilbert Ekberg Hedin</t>
  </si>
  <si>
    <t>Axel Arlehov</t>
  </si>
  <si>
    <t>Hilma Sjölander</t>
  </si>
  <si>
    <t>Vilmer Thomsen</t>
  </si>
  <si>
    <t xml:space="preserve">Tuva Molin (No show) </t>
  </si>
  <si>
    <t xml:space="preserve">Isaac Kilefors </t>
  </si>
  <si>
    <t>Tobias Schön (tema)</t>
  </si>
  <si>
    <t>Gustav Åberg</t>
  </si>
  <si>
    <t xml:space="preserve">Hampus Fagerli </t>
  </si>
  <si>
    <t>Hannes Östlund</t>
  </si>
  <si>
    <t>Jonathan Wikström Shemer (intis) (høvding TEMA vanlig, bollplank intis uppdrag)</t>
  </si>
  <si>
    <t>Sonia Mannheimer (tema)</t>
  </si>
  <si>
    <t>Ava Haghighi</t>
  </si>
  <si>
    <t>Lukas Doberhof</t>
  </si>
  <si>
    <t>Gustav Åkesson</t>
  </si>
  <si>
    <t>Elliot Köpper (Uppdrag - m Areskoug)</t>
  </si>
  <si>
    <t>Albert Ahnfeldt (uppdrag)</t>
  </si>
  <si>
    <t>Fanny Lundqvist</t>
  </si>
  <si>
    <t>Jonatan Axsäter</t>
  </si>
  <si>
    <t>Alice Curman (intis)</t>
  </si>
  <si>
    <t>Gustav Wedell (tema)</t>
  </si>
  <si>
    <t>Julia Rosvall</t>
  </si>
  <si>
    <t>Hugo Storlind</t>
  </si>
  <si>
    <t>August Bergström (TEMA)</t>
  </si>
  <si>
    <t>Mattis Ranheim (uppdrag)</t>
  </si>
  <si>
    <t>Nils Pålsson</t>
  </si>
  <si>
    <t>Ebba Sjöberg</t>
  </si>
  <si>
    <t>Gaspard Berglund (TEMA)</t>
  </si>
  <si>
    <t>Albin Zymberi (tema)</t>
  </si>
  <si>
    <t>Olga Martin-Löf</t>
  </si>
  <si>
    <t xml:space="preserve">Jacob Hertze Hansson </t>
  </si>
  <si>
    <t>Carl Nygren (tema)</t>
  </si>
  <si>
    <t>Herman Linde</t>
  </si>
  <si>
    <t>Ellen Jahn</t>
  </si>
  <si>
    <t>Truls Hambraeus (uppdrag)</t>
  </si>
  <si>
    <t>Harald Magnusson</t>
  </si>
  <si>
    <t>Sandra Gisslin</t>
  </si>
  <si>
    <t>Fredrika Grubeck (tema)</t>
  </si>
  <si>
    <t>Sofia Wallin</t>
  </si>
  <si>
    <t>Alex Dennerhed</t>
  </si>
  <si>
    <t>David Serenius (tema)</t>
  </si>
  <si>
    <t>Simon Svenmar</t>
  </si>
  <si>
    <t>Lina Fabiansson</t>
  </si>
  <si>
    <t xml:space="preserve">Hannes Wiebols </t>
  </si>
  <si>
    <t>Jakob Shishoo</t>
  </si>
  <si>
    <t>Filip Schalin (TEMA)</t>
  </si>
  <si>
    <t xml:space="preserve">Victor Lannerhjelm </t>
  </si>
  <si>
    <t>Arvid Gustafsson (tema)</t>
  </si>
  <si>
    <t>Lisa Anderson +</t>
  </si>
  <si>
    <t>Tilde Anyuru</t>
  </si>
  <si>
    <t>Vera Dahlborg</t>
  </si>
  <si>
    <t xml:space="preserve">Amanda Bäck </t>
  </si>
  <si>
    <t>Harald Lidén Ulvskog - Event</t>
  </si>
  <si>
    <t>Ana Garcia (Tema)</t>
  </si>
  <si>
    <t>Paula Landén</t>
  </si>
  <si>
    <t>Leonardo Capretti Kremer (tema)</t>
  </si>
  <si>
    <t>Love Hallonsten</t>
  </si>
  <si>
    <t xml:space="preserve">Joel Ljungqvist </t>
  </si>
  <si>
    <t>Emelie Wollin Ekberg</t>
  </si>
  <si>
    <t>Tilde Timlon (tema)</t>
  </si>
  <si>
    <t>Fanny Hansson</t>
  </si>
  <si>
    <t>Elle Hoveman (Tema)</t>
  </si>
  <si>
    <t xml:space="preserve">Clara Ruud </t>
  </si>
  <si>
    <t>Fred Linnér (TEMA)</t>
  </si>
  <si>
    <t>Vilgot Lundgren</t>
  </si>
  <si>
    <t>Simon Lundegren (tema)</t>
  </si>
  <si>
    <t>Emrik Grudén (EVENT)</t>
  </si>
  <si>
    <t xml:space="preserve"> </t>
  </si>
  <si>
    <t>Vidar Pihlsgård (uppdrag)</t>
  </si>
  <si>
    <t xml:space="preserve">Andreas Tatidis </t>
  </si>
  <si>
    <t>Petter Fröidh (TEMA)</t>
  </si>
  <si>
    <t>Anton Andreasson</t>
  </si>
  <si>
    <t>Ludvig Freiding Wellberg (tema)</t>
  </si>
  <si>
    <t>Olle Lundin</t>
  </si>
  <si>
    <t>Ebba Wahlin Jansson (tema) (intis-phadder)</t>
  </si>
  <si>
    <t xml:space="preserve">Anton Johansson </t>
  </si>
  <si>
    <t>Jesper Walberg</t>
  </si>
  <si>
    <t>Ella Moe</t>
  </si>
  <si>
    <t>Alessandro Cassani (Intis)</t>
  </si>
  <si>
    <t>Lena Welmans (INTIS)</t>
  </si>
  <si>
    <t>Linus Willemo ++</t>
  </si>
  <si>
    <t>Axel Rünow Magnusson</t>
  </si>
  <si>
    <t xml:space="preserve">Alice Rask Turesson </t>
  </si>
  <si>
    <t>Sinan Pulavar Ashraf (intis)</t>
  </si>
  <si>
    <t>Ingrid Wjikström</t>
  </si>
  <si>
    <t>Hampus Hedensjö</t>
  </si>
  <si>
    <t>Carl-Anton Öien +</t>
  </si>
  <si>
    <t>Simon Lindqvist</t>
  </si>
  <si>
    <t>Alexandra Persson</t>
  </si>
  <si>
    <t>T</t>
  </si>
  <si>
    <t>2-veckors</t>
  </si>
  <si>
    <t>Lukas</t>
  </si>
  <si>
    <t>Lykke</t>
  </si>
  <si>
    <t>Ronja</t>
  </si>
  <si>
    <t>Saga</t>
  </si>
  <si>
    <t>Erik</t>
  </si>
  <si>
    <t>Oscar</t>
  </si>
  <si>
    <t>Felix</t>
  </si>
  <si>
    <t>SUMMA</t>
  </si>
  <si>
    <t>Emil Johnsson (-)</t>
  </si>
  <si>
    <t>Kevin Wang (tema)</t>
  </si>
  <si>
    <t>Albin Klarnisson (tema)</t>
  </si>
  <si>
    <t>Teodor Sten (tema)</t>
  </si>
  <si>
    <t>Jacob nilsson (tema)</t>
  </si>
  <si>
    <t>Alice Olofsson (tema)</t>
  </si>
  <si>
    <t>Stina Schultz  (tema)</t>
  </si>
  <si>
    <t>Leiah Thoresson (tema)</t>
  </si>
  <si>
    <t>Angelo Sun (tema)</t>
  </si>
  <si>
    <t>Ella Nordin (tema)</t>
  </si>
  <si>
    <t>4-veckors</t>
  </si>
  <si>
    <t>Fred Axelsson</t>
  </si>
  <si>
    <t xml:space="preserve">Leo Ljungberg </t>
  </si>
  <si>
    <t>Caroline Jönsson -</t>
  </si>
  <si>
    <t>Sigurd Hultkranz</t>
  </si>
  <si>
    <t>Svante Glaser</t>
  </si>
  <si>
    <t>Ivar Sydvander</t>
  </si>
  <si>
    <t>Ella Sigfrid</t>
  </si>
  <si>
    <t>Martin Herbertsson</t>
  </si>
  <si>
    <t>Gabriel Grevskog Peters</t>
  </si>
  <si>
    <t>Giuseppe Gelarda (INTIS)</t>
  </si>
  <si>
    <t>Linn Rimsten</t>
  </si>
  <si>
    <t>SPIKADE JUST NU SÅ INTE SPIK UTAN PREL JUST NU</t>
  </si>
  <si>
    <t>2 veckors</t>
  </si>
  <si>
    <t>kasta tyvärr säkert snäll</t>
  </si>
  <si>
    <t>4 veckors</t>
  </si>
  <si>
    <t>no</t>
  </si>
  <si>
    <t>kanske inte</t>
  </si>
  <si>
    <t>Erik gillar, lykke också</t>
  </si>
  <si>
    <t>hade kunnat slänga</t>
  </si>
  <si>
    <t>gillade intervju, känner dock inte</t>
  </si>
  <si>
    <t>Amanda Bäck (tema)</t>
  </si>
  <si>
    <t>Fred Linnér (TEMA</t>
  </si>
  <si>
    <t xml:space="preserve">Simon Lindqvist </t>
  </si>
  <si>
    <t xml:space="preserve">Alexandra Persson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</si>
</sst>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rgb="FFFFFFFF"/>
      <name val="Arial"/>
    </font>
    <font>
      <color rgb="FFFFFFFF"/>
      <name val="Roboto"/>
    </font>
    <font>
      <b/>
      <color rgb="FF000000"/>
      <name val="Arial"/>
    </font>
    <font>
      <b/>
      <sz val="15.0"/>
      <color theme="1"/>
      <name val="Arial"/>
      <scheme val="minor"/>
    </font>
    <font>
      <strike/>
      <color rgb="FFFFFFFF"/>
      <name val="Arial"/>
    </font>
    <font>
      <strike/>
      <color rgb="FFFFFFFF"/>
      <name val="Arial"/>
      <scheme val="minor"/>
    </font>
    <font>
      <strike/>
      <color theme="1"/>
      <name val="Arial"/>
      <scheme val="minor"/>
    </font>
    <font>
      <strike/>
      <color rgb="FFFFFFFF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6B8AF"/>
        <bgColor rgb="FFE6B8A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5">
    <border/>
    <border>
      <bottom style="thick">
        <color rgb="FFFFFF00"/>
      </bottom>
    </border>
    <border>
      <bottom style="thick">
        <color rgb="FFFF0000"/>
      </bottom>
    </border>
    <border>
      <bottom style="thick">
        <color rgb="FFFF9900"/>
      </bottom>
    </border>
    <border>
      <top style="thick">
        <color rgb="FFFF9900"/>
      </top>
      <bottom style="thick">
        <color rgb="FFFF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7" fontId="2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3" numFmtId="0" xfId="0" applyAlignment="1" applyFill="1" applyFont="1">
      <alignment readingOrder="0" vertical="bottom"/>
    </xf>
    <xf borderId="0" fillId="10" fontId="1" numFmtId="0" xfId="0" applyAlignment="1" applyFill="1" applyFont="1">
      <alignment readingOrder="0"/>
    </xf>
    <xf borderId="0" fillId="9" fontId="1" numFmtId="0" xfId="0" applyAlignment="1" applyFont="1">
      <alignment readingOrder="0"/>
    </xf>
    <xf borderId="0" fillId="10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9" fontId="3" numFmtId="164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9" fontId="3" numFmtId="0" xfId="0" applyAlignment="1" applyFont="1">
      <alignment vertical="bottom"/>
    </xf>
    <xf borderId="0" fillId="9" fontId="3" numFmtId="0" xfId="0" applyAlignment="1" applyFont="1">
      <alignment vertical="bottom"/>
    </xf>
    <xf borderId="0" fillId="9" fontId="5" numFmtId="0" xfId="0" applyAlignment="1" applyFont="1">
      <alignment readingOrder="0"/>
    </xf>
    <xf borderId="0" fillId="7" fontId="2" numFmtId="0" xfId="0" applyFont="1"/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12" fontId="7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12" fontId="7" numFmtId="0" xfId="0" applyAlignment="1" applyFont="1">
      <alignment readingOrder="0" vertical="bottom"/>
    </xf>
    <xf borderId="0" fillId="12" fontId="2" numFmtId="0" xfId="0" applyAlignment="1" applyFont="1">
      <alignment readingOrder="0"/>
    </xf>
    <xf borderId="0" fillId="12" fontId="8" numFmtId="164" xfId="0" applyAlignment="1" applyFont="1" applyNumberFormat="1">
      <alignment vertical="top"/>
    </xf>
    <xf borderId="0" fillId="12" fontId="7" numFmtId="0" xfId="0" applyAlignment="1" applyFont="1">
      <alignment vertical="bottom"/>
    </xf>
    <xf borderId="0" fillId="12" fontId="7" numFmtId="164" xfId="0" applyAlignment="1" applyFont="1" applyNumberFormat="1">
      <alignment vertical="bottom"/>
    </xf>
    <xf borderId="0" fillId="5" fontId="7" numFmtId="0" xfId="0" applyAlignment="1" applyFont="1">
      <alignment vertical="bottom"/>
    </xf>
    <xf borderId="1" fillId="5" fontId="7" numFmtId="0" xfId="0" applyAlignment="1" applyBorder="1" applyFont="1">
      <alignment vertical="bottom"/>
    </xf>
    <xf borderId="2" fillId="12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1" fillId="12" fontId="2" numFmtId="0" xfId="0" applyAlignment="1" applyBorder="1" applyFont="1">
      <alignment readingOrder="0"/>
    </xf>
    <xf borderId="2" fillId="12" fontId="2" numFmtId="0" xfId="0" applyAlignment="1" applyBorder="1" applyFont="1">
      <alignment readingOrder="0"/>
    </xf>
    <xf borderId="0" fillId="5" fontId="8" numFmtId="0" xfId="0" applyAlignment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0" fillId="13" fontId="1" numFmtId="0" xfId="0" applyFill="1" applyFont="1"/>
    <xf borderId="0" fillId="0" fontId="10" numFmtId="0" xfId="0" applyAlignment="1" applyFont="1">
      <alignment readingOrder="0"/>
    </xf>
    <xf borderId="0" fillId="14" fontId="1" numFmtId="0" xfId="0" applyFill="1" applyFont="1"/>
    <xf borderId="3" fillId="0" fontId="2" numFmtId="0" xfId="0" applyAlignment="1" applyBorder="1" applyFont="1">
      <alignment readingOrder="0"/>
    </xf>
    <xf borderId="0" fillId="15" fontId="1" numFmtId="0" xfId="0" applyFill="1" applyFont="1"/>
    <xf borderId="3" fillId="12" fontId="2" numFmtId="0" xfId="0" applyAlignment="1" applyBorder="1" applyFont="1">
      <alignment readingOrder="0"/>
    </xf>
    <xf borderId="0" fillId="12" fontId="11" numFmtId="0" xfId="0" applyAlignment="1" applyFont="1">
      <alignment readingOrder="0" vertical="bottom"/>
    </xf>
    <xf borderId="0" fillId="12" fontId="11" numFmtId="0" xfId="0" applyAlignment="1" applyFont="1">
      <alignment vertical="bottom"/>
    </xf>
    <xf borderId="0" fillId="12" fontId="11" numFmtId="0" xfId="0" applyAlignment="1" applyFont="1">
      <alignment readingOrder="0" vertical="bottom"/>
    </xf>
    <xf borderId="0" fillId="12" fontId="11" numFmtId="0" xfId="0" applyAlignment="1" applyFont="1">
      <alignment vertical="bottom"/>
    </xf>
    <xf borderId="0" fillId="5" fontId="11" numFmtId="0" xfId="0" applyAlignment="1" applyFont="1">
      <alignment vertical="bottom"/>
    </xf>
    <xf borderId="3" fillId="12" fontId="11" numFmtId="0" xfId="0" applyAlignment="1" applyBorder="1" applyFont="1">
      <alignment readingOrder="0" vertical="bottom"/>
    </xf>
    <xf borderId="3" fillId="0" fontId="1" numFmtId="0" xfId="0" applyBorder="1" applyFont="1"/>
    <xf borderId="3" fillId="5" fontId="2" numFmtId="0" xfId="0" applyAlignment="1" applyBorder="1" applyFont="1">
      <alignment readingOrder="0"/>
    </xf>
    <xf borderId="2" fillId="12" fontId="11" numFmtId="0" xfId="0" applyAlignment="1" applyBorder="1" applyFont="1">
      <alignment readingOrder="0" vertical="bottom"/>
    </xf>
    <xf borderId="2" fillId="0" fontId="1" numFmtId="0" xfId="0" applyBorder="1" applyFont="1"/>
    <xf borderId="0" fillId="5" fontId="7" numFmtId="0" xfId="0" applyAlignment="1" applyFont="1">
      <alignment readingOrder="0" vertical="bottom"/>
    </xf>
    <xf borderId="0" fillId="5" fontId="11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5" fontId="11" numFmtId="0" xfId="0" applyAlignment="1" applyFont="1">
      <alignment vertical="bottom"/>
    </xf>
    <xf borderId="0" fillId="5" fontId="12" numFmtId="0" xfId="0" applyAlignment="1" applyFont="1">
      <alignment readingOrder="0"/>
    </xf>
    <xf borderId="0" fillId="0" fontId="13" numFmtId="0" xfId="0" applyFont="1"/>
    <xf borderId="0" fillId="12" fontId="11" numFmtId="164" xfId="0" applyAlignment="1" applyFont="1" applyNumberFormat="1">
      <alignment vertical="bottom"/>
    </xf>
    <xf borderId="0" fillId="12" fontId="14" numFmtId="164" xfId="0" applyAlignment="1" applyFont="1" applyNumberFormat="1">
      <alignment vertical="top"/>
    </xf>
    <xf borderId="4" fillId="12" fontId="11" numFmtId="0" xfId="0" applyAlignment="1" applyBorder="1" applyFont="1">
      <alignment vertical="bottom"/>
    </xf>
    <xf borderId="4" fillId="0" fontId="1" numFmtId="0" xfId="0" applyBorder="1" applyFont="1"/>
    <xf borderId="0" fillId="5" fontId="14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0.38"/>
    <col customWidth="1" min="3" max="3" width="29.0"/>
    <col customWidth="1" min="4" max="4" width="33.88"/>
    <col customWidth="1" min="5" max="5" width="24.88"/>
    <col customWidth="1" min="6" max="6" width="23.38"/>
    <col customWidth="1" min="9" max="9" width="25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>
        <f> 6+20+40+53+10+20</f>
        <v>149</v>
      </c>
      <c r="I1" s="8" t="s">
        <v>7</v>
      </c>
    </row>
    <row r="2">
      <c r="A2" s="9" t="s">
        <v>8</v>
      </c>
      <c r="B2" s="2" t="s">
        <v>9</v>
      </c>
      <c r="C2" s="10" t="s">
        <v>10</v>
      </c>
      <c r="D2" s="11" t="s">
        <v>11</v>
      </c>
      <c r="E2" s="4" t="s">
        <v>12</v>
      </c>
      <c r="F2" s="5" t="s">
        <v>13</v>
      </c>
      <c r="G2" s="6">
        <v>2.0</v>
      </c>
      <c r="I2" s="8" t="s">
        <v>14</v>
      </c>
      <c r="K2" s="6">
        <v>15.0</v>
      </c>
    </row>
    <row r="3">
      <c r="A3" s="9" t="s">
        <v>15</v>
      </c>
      <c r="B3" s="2" t="s">
        <v>16</v>
      </c>
      <c r="C3" s="10" t="s">
        <v>17</v>
      </c>
      <c r="D3" s="11" t="s">
        <v>18</v>
      </c>
      <c r="E3" s="4" t="s">
        <v>19</v>
      </c>
      <c r="F3" s="5" t="s">
        <v>20</v>
      </c>
      <c r="G3" s="6">
        <v>2.0</v>
      </c>
      <c r="I3" s="8" t="s">
        <v>21</v>
      </c>
      <c r="K3" s="6">
        <v>25.0</v>
      </c>
    </row>
    <row r="4">
      <c r="A4" s="1" t="s">
        <v>22</v>
      </c>
      <c r="B4" s="2" t="s">
        <v>23</v>
      </c>
      <c r="C4" s="12" t="s">
        <v>24</v>
      </c>
      <c r="D4" s="11" t="s">
        <v>25</v>
      </c>
      <c r="E4" s="4" t="s">
        <v>26</v>
      </c>
      <c r="F4" s="5" t="s">
        <v>27</v>
      </c>
      <c r="G4" s="6">
        <v>2.0</v>
      </c>
      <c r="I4" s="8" t="s">
        <v>28</v>
      </c>
      <c r="K4" s="6">
        <v>12.0</v>
      </c>
    </row>
    <row r="5">
      <c r="A5" s="1" t="s">
        <v>29</v>
      </c>
      <c r="B5" s="2" t="s">
        <v>30</v>
      </c>
      <c r="C5" s="12" t="s">
        <v>31</v>
      </c>
      <c r="D5" s="13" t="s">
        <v>32</v>
      </c>
      <c r="E5" s="4" t="s">
        <v>33</v>
      </c>
      <c r="F5" s="5" t="s">
        <v>34</v>
      </c>
      <c r="G5" s="6">
        <v>2.0</v>
      </c>
      <c r="I5" s="8" t="s">
        <v>35</v>
      </c>
      <c r="K5" s="6">
        <v>65.0</v>
      </c>
    </row>
    <row r="6">
      <c r="A6" s="1" t="s">
        <v>36</v>
      </c>
      <c r="B6" s="2" t="s">
        <v>37</v>
      </c>
      <c r="C6" s="12" t="s">
        <v>38</v>
      </c>
      <c r="D6" s="13" t="s">
        <v>39</v>
      </c>
      <c r="E6" s="4" t="s">
        <v>40</v>
      </c>
      <c r="F6" s="5" t="s">
        <v>41</v>
      </c>
      <c r="G6" s="6">
        <v>2.0</v>
      </c>
      <c r="I6" s="8" t="s">
        <v>42</v>
      </c>
      <c r="K6" s="6">
        <v>50.0</v>
      </c>
    </row>
    <row r="7">
      <c r="A7" s="1" t="s">
        <v>43</v>
      </c>
      <c r="B7" s="14" t="s">
        <v>44</v>
      </c>
      <c r="C7" s="12" t="s">
        <v>45</v>
      </c>
      <c r="D7" s="13" t="s">
        <v>46</v>
      </c>
      <c r="E7" s="4" t="s">
        <v>47</v>
      </c>
      <c r="F7" s="5" t="s">
        <v>48</v>
      </c>
      <c r="G7" s="6">
        <v>1.0</v>
      </c>
      <c r="I7" s="8" t="s">
        <v>49</v>
      </c>
      <c r="K7" s="6">
        <v>20.0</v>
      </c>
    </row>
    <row r="8">
      <c r="A8" s="1" t="s">
        <v>50</v>
      </c>
      <c r="B8" s="15" t="s">
        <v>51</v>
      </c>
      <c r="C8" s="10" t="s">
        <v>52</v>
      </c>
      <c r="D8" s="16" t="s">
        <v>53</v>
      </c>
      <c r="E8" s="4" t="s">
        <v>54</v>
      </c>
      <c r="F8" s="5" t="s">
        <v>55</v>
      </c>
      <c r="G8" s="6">
        <v>1.0</v>
      </c>
      <c r="I8" s="8" t="s">
        <v>56</v>
      </c>
      <c r="K8" s="6">
        <v>7.0</v>
      </c>
    </row>
    <row r="9">
      <c r="A9" s="17">
        <v>7.0</v>
      </c>
      <c r="B9" s="14" t="s">
        <v>57</v>
      </c>
      <c r="C9" s="10" t="s">
        <v>58</v>
      </c>
      <c r="D9" s="12" t="s">
        <v>59</v>
      </c>
      <c r="E9" s="4" t="s">
        <v>60</v>
      </c>
      <c r="F9" s="5" t="s">
        <v>61</v>
      </c>
      <c r="G9" s="6">
        <v>1.0</v>
      </c>
      <c r="I9" s="8" t="s">
        <v>62</v>
      </c>
      <c r="K9" s="7">
        <f>SUM(K2:K8)</f>
        <v>194</v>
      </c>
    </row>
    <row r="10">
      <c r="B10" s="14" t="s">
        <v>63</v>
      </c>
      <c r="C10" s="10" t="s">
        <v>64</v>
      </c>
      <c r="D10" s="12" t="s">
        <v>65</v>
      </c>
      <c r="E10" s="4" t="s">
        <v>66</v>
      </c>
      <c r="F10" s="5" t="s">
        <v>67</v>
      </c>
      <c r="G10" s="6">
        <v>2.0</v>
      </c>
      <c r="I10" s="8" t="s">
        <v>68</v>
      </c>
    </row>
    <row r="11">
      <c r="B11" s="14" t="s">
        <v>69</v>
      </c>
      <c r="C11" s="12" t="s">
        <v>70</v>
      </c>
      <c r="D11" s="10" t="s">
        <v>71</v>
      </c>
      <c r="E11" s="4" t="s">
        <v>72</v>
      </c>
      <c r="F11" s="5" t="s">
        <v>73</v>
      </c>
      <c r="G11" s="6">
        <v>2.0</v>
      </c>
      <c r="I11" s="18" t="s">
        <v>74</v>
      </c>
      <c r="M11" s="6">
        <f>194-38</f>
        <v>156</v>
      </c>
    </row>
    <row r="12">
      <c r="B12" s="15" t="s">
        <v>75</v>
      </c>
      <c r="C12" s="12" t="s">
        <v>76</v>
      </c>
      <c r="D12" s="12" t="s">
        <v>77</v>
      </c>
      <c r="E12" s="4" t="s">
        <v>78</v>
      </c>
      <c r="F12" s="5" t="s">
        <v>79</v>
      </c>
      <c r="G12" s="6">
        <v>2.0</v>
      </c>
      <c r="I12" s="18" t="s">
        <v>80</v>
      </c>
    </row>
    <row r="13">
      <c r="B13" s="14" t="s">
        <v>81</v>
      </c>
      <c r="C13" s="19" t="s">
        <v>82</v>
      </c>
      <c r="D13" s="12" t="s">
        <v>83</v>
      </c>
      <c r="E13" s="4" t="s">
        <v>84</v>
      </c>
      <c r="F13" s="5" t="s">
        <v>85</v>
      </c>
      <c r="G13" s="6">
        <v>2.0</v>
      </c>
      <c r="I13" s="18" t="s">
        <v>86</v>
      </c>
    </row>
    <row r="14">
      <c r="B14" s="14" t="s">
        <v>87</v>
      </c>
      <c r="C14" s="12" t="s">
        <v>88</v>
      </c>
      <c r="D14" s="12" t="s">
        <v>89</v>
      </c>
      <c r="E14" s="17">
        <v>12.0</v>
      </c>
      <c r="F14" s="5" t="s">
        <v>90</v>
      </c>
      <c r="G14" s="6">
        <v>2.0</v>
      </c>
      <c r="I14" s="8" t="s">
        <v>91</v>
      </c>
    </row>
    <row r="15">
      <c r="B15" s="15" t="s">
        <v>92</v>
      </c>
      <c r="C15" s="12" t="s">
        <v>93</v>
      </c>
      <c r="D15" s="19" t="s">
        <v>94</v>
      </c>
      <c r="E15" s="6"/>
      <c r="F15" s="5" t="s">
        <v>95</v>
      </c>
      <c r="G15" s="6">
        <v>2.0</v>
      </c>
      <c r="I15" s="18" t="s">
        <v>96</v>
      </c>
    </row>
    <row r="16">
      <c r="B16" s="14" t="s">
        <v>97</v>
      </c>
      <c r="C16" s="12" t="s">
        <v>98</v>
      </c>
      <c r="D16" s="19" t="s">
        <v>99</v>
      </c>
      <c r="F16" s="5" t="s">
        <v>100</v>
      </c>
      <c r="G16" s="6">
        <v>2.0</v>
      </c>
      <c r="I16" s="8" t="s">
        <v>101</v>
      </c>
    </row>
    <row r="17">
      <c r="B17" s="14" t="s">
        <v>102</v>
      </c>
      <c r="C17" s="10" t="s">
        <v>103</v>
      </c>
      <c r="D17" s="20" t="s">
        <v>104</v>
      </c>
      <c r="F17" s="5" t="s">
        <v>105</v>
      </c>
      <c r="G17" s="6">
        <v>2.0</v>
      </c>
      <c r="I17" s="21" t="s">
        <v>106</v>
      </c>
    </row>
    <row r="18">
      <c r="B18" s="14" t="s">
        <v>107</v>
      </c>
      <c r="C18" s="10" t="s">
        <v>108</v>
      </c>
      <c r="D18" s="20" t="s">
        <v>109</v>
      </c>
      <c r="F18" s="5" t="s">
        <v>110</v>
      </c>
      <c r="G18" s="6">
        <v>2.0</v>
      </c>
      <c r="I18" s="22"/>
    </row>
    <row r="19">
      <c r="B19" s="14" t="s">
        <v>111</v>
      </c>
      <c r="C19" s="12" t="s">
        <v>112</v>
      </c>
      <c r="D19" s="10" t="s">
        <v>113</v>
      </c>
      <c r="F19" s="5" t="s">
        <v>114</v>
      </c>
      <c r="G19" s="6">
        <v>1.0</v>
      </c>
      <c r="I19" s="22"/>
    </row>
    <row r="20">
      <c r="B20" s="14" t="s">
        <v>115</v>
      </c>
      <c r="C20" s="10" t="s">
        <v>116</v>
      </c>
      <c r="D20" s="12" t="s">
        <v>117</v>
      </c>
      <c r="F20" s="5" t="s">
        <v>118</v>
      </c>
      <c r="G20" s="6">
        <v>2.0</v>
      </c>
      <c r="I20" s="22"/>
    </row>
    <row r="21">
      <c r="B21" s="14" t="s">
        <v>119</v>
      </c>
      <c r="C21" s="12" t="s">
        <v>120</v>
      </c>
      <c r="D21" s="20" t="s">
        <v>121</v>
      </c>
      <c r="F21" s="5" t="s">
        <v>122</v>
      </c>
      <c r="G21" s="6">
        <v>1.0</v>
      </c>
      <c r="I21" s="22"/>
    </row>
    <row r="22">
      <c r="B22" s="23">
        <v>20.0</v>
      </c>
      <c r="C22" s="12" t="s">
        <v>123</v>
      </c>
      <c r="D22" s="19" t="s">
        <v>124</v>
      </c>
      <c r="F22" s="5" t="s">
        <v>125</v>
      </c>
      <c r="G22" s="6">
        <v>2.0</v>
      </c>
      <c r="I22" s="22"/>
    </row>
    <row r="23">
      <c r="B23" s="24"/>
      <c r="C23" s="12" t="s">
        <v>126</v>
      </c>
      <c r="D23" s="12" t="s">
        <v>127</v>
      </c>
      <c r="F23" s="5" t="s">
        <v>128</v>
      </c>
      <c r="G23" s="6">
        <v>2.0</v>
      </c>
      <c r="I23" s="22"/>
    </row>
    <row r="24">
      <c r="C24" s="12" t="s">
        <v>129</v>
      </c>
      <c r="D24" s="19" t="s">
        <v>130</v>
      </c>
      <c r="F24" s="5" t="s">
        <v>131</v>
      </c>
      <c r="G24" s="6">
        <v>1.0</v>
      </c>
      <c r="I24" s="22"/>
    </row>
    <row r="25">
      <c r="B25" s="6"/>
      <c r="C25" s="10" t="s">
        <v>132</v>
      </c>
      <c r="D25" s="12" t="s">
        <v>133</v>
      </c>
      <c r="F25" s="5" t="s">
        <v>134</v>
      </c>
      <c r="G25" s="6">
        <v>1.0</v>
      </c>
      <c r="I25" s="22"/>
    </row>
    <row r="26">
      <c r="B26" s="6"/>
      <c r="C26" s="20" t="s">
        <v>135</v>
      </c>
      <c r="D26" s="8" t="s">
        <v>136</v>
      </c>
      <c r="F26" s="5" t="s">
        <v>105</v>
      </c>
      <c r="G26" s="6">
        <v>2.0</v>
      </c>
      <c r="I26" s="22"/>
    </row>
    <row r="27">
      <c r="B27" s="25"/>
      <c r="C27" s="21" t="s">
        <v>137</v>
      </c>
      <c r="D27" s="26" t="s">
        <v>138</v>
      </c>
      <c r="F27" s="27">
        <v>25.0</v>
      </c>
      <c r="G27" s="7">
        <f>SUM(G2:G26)</f>
        <v>43</v>
      </c>
      <c r="I27" s="22"/>
    </row>
    <row r="28">
      <c r="C28" s="26" t="s">
        <v>139</v>
      </c>
      <c r="D28" s="26" t="s">
        <v>140</v>
      </c>
      <c r="I28" s="22"/>
    </row>
    <row r="29">
      <c r="B29" s="28"/>
      <c r="C29" s="29" t="s">
        <v>141</v>
      </c>
      <c r="D29" s="26" t="s">
        <v>142</v>
      </c>
      <c r="I29" s="22"/>
    </row>
    <row r="30">
      <c r="C30" s="30" t="s">
        <v>143</v>
      </c>
      <c r="D30" s="31" t="s">
        <v>144</v>
      </c>
      <c r="I30" s="22"/>
    </row>
    <row r="31">
      <c r="C31" s="32" t="s">
        <v>145</v>
      </c>
      <c r="D31" s="33" t="s">
        <v>146</v>
      </c>
    </row>
    <row r="32">
      <c r="C32" s="30" t="s">
        <v>147</v>
      </c>
      <c r="D32" s="26" t="s">
        <v>148</v>
      </c>
    </row>
    <row r="33">
      <c r="C33" s="26" t="s">
        <v>149</v>
      </c>
      <c r="D33" s="32" t="s">
        <v>150</v>
      </c>
    </row>
    <row r="34">
      <c r="C34" s="26" t="s">
        <v>151</v>
      </c>
      <c r="D34" s="32" t="s">
        <v>152</v>
      </c>
    </row>
    <row r="35">
      <c r="C35" s="26" t="s">
        <v>153</v>
      </c>
      <c r="D35" s="32" t="s">
        <v>154</v>
      </c>
    </row>
    <row r="36">
      <c r="C36" s="26" t="s">
        <v>155</v>
      </c>
      <c r="D36" s="26" t="s">
        <v>156</v>
      </c>
    </row>
    <row r="37">
      <c r="C37" s="26" t="s">
        <v>157</v>
      </c>
      <c r="D37" s="26" t="s">
        <v>158</v>
      </c>
    </row>
    <row r="38">
      <c r="B38" s="6" t="s">
        <v>159</v>
      </c>
      <c r="C38" s="34" t="s">
        <v>160</v>
      </c>
      <c r="D38" s="32" t="s">
        <v>161</v>
      </c>
    </row>
    <row r="39">
      <c r="C39" s="26" t="s">
        <v>162</v>
      </c>
      <c r="D39" s="26" t="s">
        <v>163</v>
      </c>
    </row>
    <row r="40">
      <c r="C40" s="26" t="s">
        <v>164</v>
      </c>
      <c r="D40" s="26" t="s">
        <v>165</v>
      </c>
    </row>
    <row r="41">
      <c r="C41" s="35" t="s">
        <v>166</v>
      </c>
      <c r="D41" s="30" t="s">
        <v>167</v>
      </c>
    </row>
    <row r="42">
      <c r="C42" s="36"/>
      <c r="D42" s="26" t="s">
        <v>168</v>
      </c>
    </row>
    <row r="43">
      <c r="B43" s="37"/>
      <c r="C43" s="34"/>
      <c r="D43" s="26" t="s">
        <v>169</v>
      </c>
    </row>
    <row r="44">
      <c r="B44" s="37"/>
      <c r="C44" s="38"/>
      <c r="D44" s="30" t="s">
        <v>170</v>
      </c>
    </row>
    <row r="45">
      <c r="B45" s="39"/>
      <c r="C45" s="26"/>
      <c r="D45" s="26" t="s">
        <v>171</v>
      </c>
    </row>
    <row r="46">
      <c r="B46" s="39"/>
      <c r="C46" s="34"/>
      <c r="D46" s="4" t="s">
        <v>172</v>
      </c>
    </row>
    <row r="47">
      <c r="B47" s="39"/>
      <c r="C47" s="34"/>
      <c r="D47" s="26" t="s">
        <v>173</v>
      </c>
    </row>
    <row r="48">
      <c r="B48" s="39"/>
      <c r="C48" s="34"/>
      <c r="D48" s="26" t="s">
        <v>174</v>
      </c>
    </row>
    <row r="49">
      <c r="B49" s="39"/>
      <c r="C49" s="34"/>
      <c r="D49" s="33" t="s">
        <v>175</v>
      </c>
    </row>
    <row r="50">
      <c r="B50" s="39"/>
      <c r="C50" s="34"/>
      <c r="D50" s="30" t="s">
        <v>176</v>
      </c>
    </row>
    <row r="51">
      <c r="B51" s="37"/>
      <c r="C51" s="34"/>
      <c r="D51" s="26" t="s">
        <v>177</v>
      </c>
    </row>
    <row r="52">
      <c r="B52" s="39"/>
      <c r="C52" s="40">
        <v>40.0</v>
      </c>
      <c r="D52" s="26" t="s">
        <v>178</v>
      </c>
    </row>
    <row r="53">
      <c r="B53" s="39"/>
      <c r="D53" s="29" t="s">
        <v>179</v>
      </c>
    </row>
    <row r="54">
      <c r="B54" s="39"/>
      <c r="D54" s="41" t="s">
        <v>180</v>
      </c>
    </row>
    <row r="55">
      <c r="D55" s="42"/>
    </row>
    <row r="56">
      <c r="D56" s="32"/>
    </row>
    <row r="57">
      <c r="D57" s="26"/>
    </row>
    <row r="58">
      <c r="D58" s="34"/>
    </row>
    <row r="59">
      <c r="D59" s="38"/>
    </row>
    <row r="60">
      <c r="D60" s="38"/>
    </row>
    <row r="61">
      <c r="D61" s="38"/>
    </row>
    <row r="62">
      <c r="D62" s="43"/>
    </row>
    <row r="63">
      <c r="D63" s="38"/>
    </row>
    <row r="64">
      <c r="D64" s="38"/>
    </row>
    <row r="65">
      <c r="D65" s="38"/>
    </row>
    <row r="66">
      <c r="D66" s="40">
        <v>53.0</v>
      </c>
    </row>
    <row r="67">
      <c r="D67" s="40"/>
    </row>
    <row r="68">
      <c r="D68" s="37"/>
    </row>
    <row r="69">
      <c r="D69" s="44" t="s">
        <v>181</v>
      </c>
    </row>
    <row r="70">
      <c r="D70" s="37"/>
    </row>
    <row r="71">
      <c r="D71" s="37"/>
    </row>
    <row r="72">
      <c r="D72" s="45"/>
    </row>
    <row r="73">
      <c r="D73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0"/>
  </cols>
  <sheetData>
    <row r="1">
      <c r="A1" s="46" t="s">
        <v>182</v>
      </c>
      <c r="B1" s="6" t="s">
        <v>183</v>
      </c>
      <c r="C1" s="6" t="s">
        <v>184</v>
      </c>
      <c r="D1" s="6" t="s">
        <v>185</v>
      </c>
      <c r="E1" s="6" t="s">
        <v>186</v>
      </c>
      <c r="F1" s="6" t="s">
        <v>187</v>
      </c>
      <c r="G1" s="6" t="s">
        <v>188</v>
      </c>
      <c r="H1" s="6" t="s">
        <v>189</v>
      </c>
      <c r="I1" s="6" t="s">
        <v>190</v>
      </c>
    </row>
    <row r="2">
      <c r="A2" s="36" t="s">
        <v>191</v>
      </c>
      <c r="B2" s="6">
        <v>0.0</v>
      </c>
      <c r="C2" s="6">
        <v>0.5</v>
      </c>
      <c r="D2" s="6">
        <v>0.5</v>
      </c>
      <c r="F2" s="6">
        <v>0.5</v>
      </c>
      <c r="G2" s="6">
        <v>0.5</v>
      </c>
      <c r="H2" s="6">
        <v>0.5</v>
      </c>
      <c r="I2" s="47">
        <f t="shared" ref="I2:I11" si="1">SUM(B2:H2)</f>
        <v>2.5</v>
      </c>
    </row>
    <row r="3">
      <c r="A3" s="34" t="s">
        <v>192</v>
      </c>
      <c r="B3" s="6">
        <v>0.0</v>
      </c>
      <c r="C3" s="6">
        <v>0.5</v>
      </c>
      <c r="D3" s="6">
        <v>0.0</v>
      </c>
      <c r="E3" s="6">
        <v>0.5</v>
      </c>
      <c r="F3" s="6">
        <v>0.0</v>
      </c>
      <c r="G3" s="6">
        <v>1.0</v>
      </c>
      <c r="H3" s="6">
        <v>0.5</v>
      </c>
      <c r="I3" s="47">
        <f t="shared" si="1"/>
        <v>2.5</v>
      </c>
    </row>
    <row r="4">
      <c r="A4" s="38" t="s">
        <v>193</v>
      </c>
      <c r="B4" s="6">
        <v>0.0</v>
      </c>
      <c r="C4" s="6">
        <v>0.0</v>
      </c>
      <c r="D4" s="6">
        <v>0.0</v>
      </c>
      <c r="E4" s="6">
        <v>0.5</v>
      </c>
      <c r="F4" s="6">
        <v>0.0</v>
      </c>
      <c r="G4" s="6">
        <v>0.5</v>
      </c>
      <c r="H4" s="6">
        <v>0.0</v>
      </c>
      <c r="I4" s="47">
        <f t="shared" si="1"/>
        <v>1</v>
      </c>
    </row>
    <row r="5">
      <c r="A5" s="26" t="s">
        <v>194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47">
        <f t="shared" si="1"/>
        <v>0</v>
      </c>
    </row>
    <row r="6">
      <c r="A6" s="34" t="s">
        <v>195</v>
      </c>
      <c r="B6" s="6">
        <v>0.0</v>
      </c>
      <c r="C6" s="6">
        <v>0.0</v>
      </c>
      <c r="D6" s="6">
        <v>0.0</v>
      </c>
      <c r="E6" s="6"/>
      <c r="F6" s="6">
        <v>0.0</v>
      </c>
      <c r="G6" s="6">
        <v>0.5</v>
      </c>
      <c r="H6" s="6">
        <v>0.0</v>
      </c>
      <c r="I6" s="47">
        <f t="shared" si="1"/>
        <v>0.5</v>
      </c>
    </row>
    <row r="7">
      <c r="A7" s="34" t="s">
        <v>196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47">
        <f t="shared" si="1"/>
        <v>0</v>
      </c>
    </row>
    <row r="8">
      <c r="A8" s="34" t="s">
        <v>197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47">
        <f t="shared" si="1"/>
        <v>0</v>
      </c>
    </row>
    <row r="9">
      <c r="A9" s="34" t="s">
        <v>198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47">
        <f t="shared" si="1"/>
        <v>0</v>
      </c>
    </row>
    <row r="10">
      <c r="A10" s="34" t="s">
        <v>199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0.5</v>
      </c>
      <c r="H10" s="6">
        <v>0.0</v>
      </c>
      <c r="I10" s="47">
        <f t="shared" si="1"/>
        <v>0.5</v>
      </c>
    </row>
    <row r="11">
      <c r="A11" s="34" t="s">
        <v>200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47">
        <f t="shared" si="1"/>
        <v>0</v>
      </c>
    </row>
    <row r="12">
      <c r="I12" s="47"/>
    </row>
    <row r="13">
      <c r="A13" s="6" t="s">
        <v>201</v>
      </c>
      <c r="I13" s="47"/>
    </row>
    <row r="14">
      <c r="A14" s="42" t="s">
        <v>202</v>
      </c>
      <c r="B14" s="6">
        <v>0.5</v>
      </c>
      <c r="C14" s="6">
        <v>0.5</v>
      </c>
      <c r="D14" s="6">
        <v>1.0</v>
      </c>
      <c r="E14" s="6">
        <v>0.5</v>
      </c>
      <c r="F14" s="6">
        <v>0.5</v>
      </c>
      <c r="G14" s="6">
        <v>0.5</v>
      </c>
      <c r="H14" s="6">
        <v>1.0</v>
      </c>
      <c r="I14" s="47">
        <f t="shared" ref="I14:I24" si="2">SUM(B14:H14)</f>
        <v>4.5</v>
      </c>
    </row>
    <row r="15">
      <c r="A15" s="32" t="s">
        <v>203</v>
      </c>
      <c r="B15" s="6">
        <v>1.0</v>
      </c>
      <c r="C15" s="6">
        <v>0.5</v>
      </c>
      <c r="D15" s="6">
        <v>0.0</v>
      </c>
      <c r="F15" s="6">
        <v>0.0</v>
      </c>
      <c r="G15" s="6">
        <v>0.5</v>
      </c>
      <c r="H15" s="6">
        <v>0.5</v>
      </c>
      <c r="I15" s="47">
        <f t="shared" si="2"/>
        <v>2.5</v>
      </c>
    </row>
    <row r="16">
      <c r="A16" s="26" t="s">
        <v>204</v>
      </c>
      <c r="B16" s="6">
        <v>0.5</v>
      </c>
      <c r="C16" s="6">
        <v>0.5</v>
      </c>
      <c r="D16" s="6">
        <v>1.0</v>
      </c>
      <c r="F16" s="6">
        <v>0.0</v>
      </c>
      <c r="G16" s="6">
        <v>0.0</v>
      </c>
      <c r="H16" s="6">
        <v>0.5</v>
      </c>
      <c r="I16" s="47">
        <f t="shared" si="2"/>
        <v>2.5</v>
      </c>
    </row>
    <row r="17">
      <c r="A17" s="34" t="s">
        <v>205</v>
      </c>
      <c r="B17" s="6">
        <v>0.0</v>
      </c>
      <c r="C17" s="6">
        <v>0.5</v>
      </c>
      <c r="D17" s="6">
        <v>0.5</v>
      </c>
      <c r="E17" s="6">
        <v>0.5</v>
      </c>
      <c r="F17" s="6">
        <v>0.5</v>
      </c>
      <c r="G17" s="6">
        <v>0.0</v>
      </c>
      <c r="H17" s="6">
        <v>0.5</v>
      </c>
      <c r="I17" s="47">
        <f t="shared" si="2"/>
        <v>2.5</v>
      </c>
    </row>
    <row r="18">
      <c r="A18" s="38" t="s">
        <v>206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47">
        <f t="shared" si="2"/>
        <v>0</v>
      </c>
    </row>
    <row r="19">
      <c r="A19" s="38" t="s">
        <v>207</v>
      </c>
      <c r="B19" s="6">
        <v>1.0</v>
      </c>
      <c r="C19" s="6">
        <v>0.0</v>
      </c>
      <c r="D19" s="6">
        <v>0.0</v>
      </c>
      <c r="E19" s="6">
        <v>0.0</v>
      </c>
      <c r="F19" s="6">
        <v>0.0</v>
      </c>
      <c r="G19" s="6">
        <v>0.5</v>
      </c>
      <c r="H19" s="6">
        <v>0.0</v>
      </c>
      <c r="I19" s="47">
        <f t="shared" si="2"/>
        <v>1.5</v>
      </c>
    </row>
    <row r="20">
      <c r="A20" s="38" t="s">
        <v>208</v>
      </c>
      <c r="B20" s="6">
        <v>0.5</v>
      </c>
      <c r="C20" s="6">
        <v>0.0</v>
      </c>
      <c r="D20" s="6">
        <v>0.0</v>
      </c>
      <c r="E20" s="6">
        <v>0.0</v>
      </c>
      <c r="F20" s="6">
        <v>0.0</v>
      </c>
      <c r="G20" s="6">
        <v>0.5</v>
      </c>
      <c r="H20" s="6">
        <v>0.0</v>
      </c>
      <c r="I20" s="47">
        <f t="shared" si="2"/>
        <v>1</v>
      </c>
    </row>
    <row r="21">
      <c r="A21" s="43" t="s">
        <v>209</v>
      </c>
      <c r="B21" s="6">
        <v>0.0</v>
      </c>
      <c r="C21" s="6">
        <v>0.0</v>
      </c>
      <c r="D21" s="6">
        <v>0.5</v>
      </c>
      <c r="E21" s="6">
        <v>0.5</v>
      </c>
      <c r="F21" s="6">
        <v>0.0</v>
      </c>
      <c r="G21" s="6">
        <v>0.0</v>
      </c>
      <c r="H21" s="6">
        <v>0.0</v>
      </c>
      <c r="I21" s="47">
        <f t="shared" si="2"/>
        <v>1</v>
      </c>
    </row>
    <row r="22">
      <c r="A22" s="38" t="s">
        <v>210</v>
      </c>
      <c r="B22" s="6">
        <v>0.0</v>
      </c>
      <c r="C22" s="6">
        <v>0.0</v>
      </c>
      <c r="D22" s="6">
        <v>0.5</v>
      </c>
      <c r="E22" s="6">
        <v>0.0</v>
      </c>
      <c r="F22" s="6">
        <v>0.0</v>
      </c>
      <c r="G22" s="6">
        <v>0.5</v>
      </c>
      <c r="H22" s="6">
        <v>0.0</v>
      </c>
      <c r="I22" s="47">
        <f t="shared" si="2"/>
        <v>1</v>
      </c>
    </row>
    <row r="23">
      <c r="A23" s="38" t="s">
        <v>211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47">
        <f t="shared" si="2"/>
        <v>0</v>
      </c>
    </row>
    <row r="24">
      <c r="A24" s="38" t="s">
        <v>212</v>
      </c>
      <c r="B24" s="6">
        <v>1.0</v>
      </c>
      <c r="C24" s="6">
        <v>0.0</v>
      </c>
      <c r="D24" s="6">
        <v>0.0</v>
      </c>
      <c r="E24" s="6">
        <v>0.5</v>
      </c>
      <c r="F24" s="6">
        <v>0.0</v>
      </c>
      <c r="G24" s="6">
        <v>0.5</v>
      </c>
      <c r="I24" s="47">
        <f t="shared" si="2"/>
        <v>2</v>
      </c>
    </row>
    <row r="25">
      <c r="A25" s="44" t="s">
        <v>181</v>
      </c>
    </row>
    <row r="26">
      <c r="A26" s="48" t="s">
        <v>213</v>
      </c>
    </row>
    <row r="28">
      <c r="A28" s="6" t="s">
        <v>214</v>
      </c>
    </row>
    <row r="29">
      <c r="A29" s="26" t="s">
        <v>139</v>
      </c>
      <c r="D29" s="6">
        <v>1.0</v>
      </c>
      <c r="I29" s="49">
        <f t="shared" ref="I29:I42" si="3">SUM(B29:H29)</f>
        <v>1</v>
      </c>
    </row>
    <row r="30">
      <c r="A30" s="29" t="s">
        <v>141</v>
      </c>
      <c r="D30" s="6">
        <v>1.0</v>
      </c>
      <c r="I30" s="49">
        <f t="shared" si="3"/>
        <v>1</v>
      </c>
    </row>
    <row r="31">
      <c r="A31" s="30" t="s">
        <v>143</v>
      </c>
      <c r="D31" s="6">
        <v>1.0</v>
      </c>
      <c r="I31" s="49">
        <f t="shared" si="3"/>
        <v>1</v>
      </c>
    </row>
    <row r="32">
      <c r="A32" s="32" t="s">
        <v>145</v>
      </c>
      <c r="D32" s="6">
        <v>1.0</v>
      </c>
      <c r="I32" s="49">
        <f t="shared" si="3"/>
        <v>1</v>
      </c>
    </row>
    <row r="33">
      <c r="A33" s="30" t="s">
        <v>147</v>
      </c>
      <c r="D33" s="6">
        <v>1.0</v>
      </c>
      <c r="I33" s="49">
        <f t="shared" si="3"/>
        <v>1</v>
      </c>
    </row>
    <row r="34">
      <c r="A34" s="26" t="s">
        <v>149</v>
      </c>
      <c r="D34" s="6">
        <v>1.0</v>
      </c>
      <c r="I34" s="49">
        <f t="shared" si="3"/>
        <v>1</v>
      </c>
    </row>
    <row r="35">
      <c r="A35" s="26" t="s">
        <v>151</v>
      </c>
      <c r="I35" s="49">
        <f t="shared" si="3"/>
        <v>0</v>
      </c>
    </row>
    <row r="36">
      <c r="A36" s="26" t="s">
        <v>153</v>
      </c>
      <c r="I36" s="49">
        <f t="shared" si="3"/>
        <v>0</v>
      </c>
    </row>
    <row r="37">
      <c r="A37" s="26" t="s">
        <v>155</v>
      </c>
      <c r="I37" s="49">
        <f t="shared" si="3"/>
        <v>0</v>
      </c>
    </row>
    <row r="38">
      <c r="A38" s="26" t="s">
        <v>157</v>
      </c>
      <c r="D38" s="6">
        <v>0.5</v>
      </c>
      <c r="I38" s="49">
        <f t="shared" si="3"/>
        <v>0.5</v>
      </c>
    </row>
    <row r="39">
      <c r="A39" s="34" t="s">
        <v>160</v>
      </c>
      <c r="D39" s="6">
        <v>1.0</v>
      </c>
      <c r="I39" s="49">
        <f t="shared" si="3"/>
        <v>1</v>
      </c>
    </row>
    <row r="40">
      <c r="A40" s="26" t="s">
        <v>162</v>
      </c>
      <c r="I40" s="49">
        <f t="shared" si="3"/>
        <v>0</v>
      </c>
    </row>
    <row r="41">
      <c r="A41" s="26" t="s">
        <v>164</v>
      </c>
      <c r="B41" s="6" t="s">
        <v>215</v>
      </c>
      <c r="D41" s="6">
        <v>0.5</v>
      </c>
      <c r="I41" s="49">
        <f t="shared" si="3"/>
        <v>0.5</v>
      </c>
    </row>
    <row r="42">
      <c r="A42" s="35" t="s">
        <v>166</v>
      </c>
      <c r="D42" s="6">
        <v>1.0</v>
      </c>
      <c r="I42" s="49">
        <f t="shared" si="3"/>
        <v>1</v>
      </c>
    </row>
    <row r="43">
      <c r="A43" s="50"/>
      <c r="E43" s="6"/>
    </row>
    <row r="45">
      <c r="A45" s="6" t="s">
        <v>216</v>
      </c>
    </row>
    <row r="46">
      <c r="A46" s="26" t="s">
        <v>138</v>
      </c>
      <c r="D46" s="6">
        <v>1.0</v>
      </c>
      <c r="G46" s="6">
        <v>1.0</v>
      </c>
      <c r="I46" s="51">
        <f t="shared" ref="I46:I73" si="4">SUM(B46:H46)</f>
        <v>2</v>
      </c>
    </row>
    <row r="47">
      <c r="A47" s="26" t="s">
        <v>140</v>
      </c>
      <c r="D47" s="6">
        <v>1.0</v>
      </c>
      <c r="G47" s="6">
        <v>1.0</v>
      </c>
      <c r="I47" s="51">
        <f t="shared" si="4"/>
        <v>2</v>
      </c>
    </row>
    <row r="48">
      <c r="A48" s="26" t="s">
        <v>142</v>
      </c>
      <c r="D48" s="6">
        <v>1.0</v>
      </c>
      <c r="G48" s="6">
        <v>0.5</v>
      </c>
      <c r="I48" s="51">
        <f t="shared" si="4"/>
        <v>1.5</v>
      </c>
    </row>
    <row r="49">
      <c r="A49" s="31" t="s">
        <v>144</v>
      </c>
      <c r="G49" s="6">
        <v>1.0</v>
      </c>
      <c r="I49" s="51">
        <f t="shared" si="4"/>
        <v>1</v>
      </c>
    </row>
    <row r="50">
      <c r="A50" s="33" t="s">
        <v>146</v>
      </c>
      <c r="D50" s="6">
        <v>1.0</v>
      </c>
      <c r="G50" s="6">
        <v>1.0</v>
      </c>
      <c r="I50" s="51">
        <f t="shared" si="4"/>
        <v>2</v>
      </c>
    </row>
    <row r="51">
      <c r="A51" s="26" t="s">
        <v>148</v>
      </c>
      <c r="D51" s="6">
        <v>1.0</v>
      </c>
      <c r="G51" s="6">
        <v>1.0</v>
      </c>
      <c r="I51" s="51">
        <f t="shared" si="4"/>
        <v>2</v>
      </c>
    </row>
    <row r="52">
      <c r="A52" s="32" t="s">
        <v>150</v>
      </c>
      <c r="D52" s="6">
        <v>0.5</v>
      </c>
      <c r="G52" s="6">
        <v>0.5</v>
      </c>
      <c r="I52" s="51">
        <f t="shared" si="4"/>
        <v>1</v>
      </c>
    </row>
    <row r="53">
      <c r="A53" s="32" t="s">
        <v>152</v>
      </c>
      <c r="G53" s="6">
        <v>0.5</v>
      </c>
      <c r="I53" s="51">
        <f t="shared" si="4"/>
        <v>0.5</v>
      </c>
    </row>
    <row r="54">
      <c r="A54" s="32" t="s">
        <v>154</v>
      </c>
      <c r="D54" s="6">
        <v>1.0</v>
      </c>
      <c r="G54" s="6">
        <v>0.5</v>
      </c>
      <c r="I54" s="51">
        <f t="shared" si="4"/>
        <v>1.5</v>
      </c>
    </row>
    <row r="55">
      <c r="A55" s="26" t="s">
        <v>156</v>
      </c>
      <c r="G55" s="6">
        <v>0.5</v>
      </c>
      <c r="I55" s="51">
        <f t="shared" si="4"/>
        <v>0.5</v>
      </c>
    </row>
    <row r="56">
      <c r="A56" s="26" t="s">
        <v>158</v>
      </c>
      <c r="D56" s="6">
        <v>1.0</v>
      </c>
      <c r="G56" s="6">
        <v>1.0</v>
      </c>
      <c r="I56" s="51">
        <f t="shared" si="4"/>
        <v>2</v>
      </c>
    </row>
    <row r="57">
      <c r="A57" s="32" t="s">
        <v>161</v>
      </c>
      <c r="D57" s="6">
        <v>1.0</v>
      </c>
      <c r="G57" s="6">
        <v>0.5</v>
      </c>
      <c r="I57" s="51">
        <f t="shared" si="4"/>
        <v>1.5</v>
      </c>
    </row>
    <row r="58">
      <c r="A58" s="26" t="s">
        <v>163</v>
      </c>
      <c r="D58" s="6">
        <v>1.0</v>
      </c>
      <c r="G58" s="6">
        <v>0.5</v>
      </c>
      <c r="I58" s="51">
        <f t="shared" si="4"/>
        <v>1.5</v>
      </c>
    </row>
    <row r="59">
      <c r="A59" s="26" t="s">
        <v>165</v>
      </c>
      <c r="G59" s="6">
        <v>1.0</v>
      </c>
      <c r="I59" s="51">
        <f t="shared" si="4"/>
        <v>1</v>
      </c>
    </row>
    <row r="60">
      <c r="A60" s="30" t="s">
        <v>167</v>
      </c>
      <c r="B60" s="6" t="s">
        <v>217</v>
      </c>
      <c r="D60" s="6">
        <v>1.0</v>
      </c>
      <c r="G60" s="6">
        <v>1.0</v>
      </c>
      <c r="I60" s="51">
        <f t="shared" si="4"/>
        <v>2</v>
      </c>
    </row>
    <row r="61">
      <c r="A61" s="26" t="s">
        <v>168</v>
      </c>
      <c r="G61" s="6">
        <v>1.0</v>
      </c>
      <c r="I61" s="51">
        <f t="shared" si="4"/>
        <v>1</v>
      </c>
    </row>
    <row r="62">
      <c r="A62" s="26" t="s">
        <v>169</v>
      </c>
      <c r="G62" s="6">
        <v>0.5</v>
      </c>
      <c r="I62" s="51">
        <f t="shared" si="4"/>
        <v>0.5</v>
      </c>
    </row>
    <row r="63">
      <c r="A63" s="30" t="s">
        <v>170</v>
      </c>
      <c r="D63" s="6">
        <v>1.0</v>
      </c>
      <c r="G63" s="6">
        <v>1.0</v>
      </c>
      <c r="I63" s="51">
        <f t="shared" si="4"/>
        <v>2</v>
      </c>
    </row>
    <row r="64">
      <c r="A64" s="26" t="s">
        <v>171</v>
      </c>
      <c r="D64" s="6">
        <v>1.0</v>
      </c>
      <c r="G64" s="6">
        <v>1.0</v>
      </c>
      <c r="I64" s="51">
        <f t="shared" si="4"/>
        <v>2</v>
      </c>
    </row>
    <row r="65">
      <c r="A65" s="4" t="s">
        <v>172</v>
      </c>
      <c r="B65" s="6" t="s">
        <v>218</v>
      </c>
      <c r="C65" s="6" t="s">
        <v>219</v>
      </c>
      <c r="D65" s="6">
        <v>0.5</v>
      </c>
      <c r="G65" s="6">
        <v>0.5</v>
      </c>
      <c r="I65" s="51">
        <f t="shared" si="4"/>
        <v>1</v>
      </c>
    </row>
    <row r="66">
      <c r="A66" s="26" t="s">
        <v>173</v>
      </c>
      <c r="G66" s="6">
        <v>1.0</v>
      </c>
      <c r="I66" s="51">
        <f t="shared" si="4"/>
        <v>1</v>
      </c>
    </row>
    <row r="67">
      <c r="A67" s="26" t="s">
        <v>174</v>
      </c>
      <c r="G67" s="6">
        <v>0.5</v>
      </c>
      <c r="I67" s="51">
        <f t="shared" si="4"/>
        <v>0.5</v>
      </c>
    </row>
    <row r="68">
      <c r="A68" s="33" t="s">
        <v>175</v>
      </c>
      <c r="D68" s="6">
        <v>1.0</v>
      </c>
      <c r="G68" s="6">
        <v>1.0</v>
      </c>
      <c r="I68" s="51">
        <f t="shared" si="4"/>
        <v>2</v>
      </c>
    </row>
    <row r="69">
      <c r="A69" s="30" t="s">
        <v>176</v>
      </c>
      <c r="G69" s="6">
        <v>0.5</v>
      </c>
      <c r="I69" s="51">
        <f t="shared" si="4"/>
        <v>0.5</v>
      </c>
    </row>
    <row r="70">
      <c r="A70" s="26" t="s">
        <v>177</v>
      </c>
      <c r="D70" s="6">
        <v>1.0</v>
      </c>
      <c r="G70" s="6">
        <v>1.0</v>
      </c>
      <c r="I70" s="51">
        <f t="shared" si="4"/>
        <v>2</v>
      </c>
    </row>
    <row r="71">
      <c r="A71" s="26" t="s">
        <v>178</v>
      </c>
      <c r="B71" s="6" t="s">
        <v>218</v>
      </c>
      <c r="G71" s="6" t="s">
        <v>220</v>
      </c>
      <c r="H71" s="6" t="s">
        <v>221</v>
      </c>
      <c r="I71" s="51">
        <f t="shared" si="4"/>
        <v>0</v>
      </c>
    </row>
    <row r="72">
      <c r="A72" s="29" t="s">
        <v>179</v>
      </c>
      <c r="G72" s="6">
        <v>1.0</v>
      </c>
      <c r="I72" s="51">
        <f t="shared" si="4"/>
        <v>1</v>
      </c>
    </row>
    <row r="73">
      <c r="A73" s="52" t="s">
        <v>180</v>
      </c>
      <c r="G73" s="6">
        <v>0.5</v>
      </c>
      <c r="I73" s="51">
        <f t="shared" si="4"/>
        <v>0.5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3" max="3" width="29.13"/>
  </cols>
  <sheetData>
    <row r="1">
      <c r="A1" s="53" t="s">
        <v>222</v>
      </c>
      <c r="C1" s="26" t="s">
        <v>139</v>
      </c>
    </row>
    <row r="2">
      <c r="A2" s="53" t="s">
        <v>164</v>
      </c>
      <c r="C2" s="29" t="s">
        <v>141</v>
      </c>
    </row>
    <row r="3">
      <c r="A3" s="54" t="s">
        <v>139</v>
      </c>
      <c r="C3" s="30" t="s">
        <v>143</v>
      </c>
    </row>
    <row r="4">
      <c r="A4" s="55" t="s">
        <v>147</v>
      </c>
      <c r="C4" s="32" t="s">
        <v>145</v>
      </c>
    </row>
    <row r="5">
      <c r="A5" s="53" t="s">
        <v>151</v>
      </c>
      <c r="C5" s="30" t="s">
        <v>147</v>
      </c>
    </row>
    <row r="6">
      <c r="A6" s="54" t="s">
        <v>157</v>
      </c>
      <c r="C6" s="29" t="s">
        <v>191</v>
      </c>
    </row>
    <row r="7">
      <c r="A7" s="54"/>
      <c r="C7" s="26" t="s">
        <v>149</v>
      </c>
    </row>
    <row r="8">
      <c r="A8" s="56" t="s">
        <v>145</v>
      </c>
      <c r="C8" s="30" t="s">
        <v>151</v>
      </c>
    </row>
    <row r="9">
      <c r="A9" s="54" t="s">
        <v>149</v>
      </c>
      <c r="C9" s="30" t="s">
        <v>153</v>
      </c>
    </row>
    <row r="10">
      <c r="A10" s="54" t="s">
        <v>194</v>
      </c>
      <c r="C10" s="30" t="s">
        <v>155</v>
      </c>
    </row>
    <row r="11">
      <c r="A11" s="57" t="s">
        <v>195</v>
      </c>
      <c r="C11" s="26" t="s">
        <v>157</v>
      </c>
    </row>
    <row r="12">
      <c r="A12" s="53" t="s">
        <v>153</v>
      </c>
      <c r="C12" s="34" t="s">
        <v>160</v>
      </c>
    </row>
    <row r="13">
      <c r="A13" s="53" t="s">
        <v>162</v>
      </c>
      <c r="C13" s="30" t="s">
        <v>162</v>
      </c>
    </row>
    <row r="14">
      <c r="A14" s="54" t="s">
        <v>191</v>
      </c>
      <c r="C14" s="30" t="s">
        <v>164</v>
      </c>
    </row>
    <row r="15">
      <c r="A15" s="58" t="s">
        <v>223</v>
      </c>
      <c r="B15" s="59"/>
      <c r="C15" s="60" t="s">
        <v>166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1" t="s">
        <v>141</v>
      </c>
      <c r="B16" s="62"/>
      <c r="C16" s="63" t="s">
        <v>192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57" t="s">
        <v>160</v>
      </c>
      <c r="C17" s="26" t="s">
        <v>194</v>
      </c>
    </row>
    <row r="18">
      <c r="A18" s="57" t="s">
        <v>200</v>
      </c>
      <c r="C18" s="34" t="s">
        <v>195</v>
      </c>
    </row>
    <row r="19">
      <c r="A19" s="57" t="s">
        <v>199</v>
      </c>
      <c r="C19" s="34" t="s">
        <v>196</v>
      </c>
    </row>
    <row r="20">
      <c r="A20" s="64" t="s">
        <v>166</v>
      </c>
      <c r="C20" s="34" t="s">
        <v>197</v>
      </c>
    </row>
    <row r="21">
      <c r="A21" s="57" t="s">
        <v>196</v>
      </c>
      <c r="C21" s="38" t="s">
        <v>198</v>
      </c>
    </row>
    <row r="22">
      <c r="A22" s="57" t="s">
        <v>197</v>
      </c>
      <c r="C22" s="65" t="s">
        <v>193</v>
      </c>
    </row>
    <row r="23">
      <c r="A23" s="66" t="s">
        <v>198</v>
      </c>
      <c r="C23" s="34"/>
    </row>
    <row r="24">
      <c r="A24" s="67" t="s">
        <v>193</v>
      </c>
      <c r="C24" s="34" t="s">
        <v>199</v>
      </c>
    </row>
    <row r="25">
      <c r="A25" s="57" t="s">
        <v>192</v>
      </c>
      <c r="C25" s="34" t="s">
        <v>200</v>
      </c>
    </row>
    <row r="26">
      <c r="A26" s="6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22.0"/>
  </cols>
  <sheetData>
    <row r="1">
      <c r="A1" s="54" t="s">
        <v>178</v>
      </c>
      <c r="C1" s="26" t="s">
        <v>138</v>
      </c>
    </row>
    <row r="2">
      <c r="A2" s="54" t="s">
        <v>138</v>
      </c>
      <c r="C2" s="26" t="s">
        <v>140</v>
      </c>
    </row>
    <row r="3">
      <c r="A3" s="26" t="s">
        <v>176</v>
      </c>
      <c r="C3" s="26" t="s">
        <v>142</v>
      </c>
    </row>
    <row r="4">
      <c r="A4" s="54" t="s">
        <v>171</v>
      </c>
      <c r="C4" s="31" t="s">
        <v>144</v>
      </c>
    </row>
    <row r="5">
      <c r="A5" s="54" t="s">
        <v>165</v>
      </c>
      <c r="C5" s="33" t="s">
        <v>146</v>
      </c>
    </row>
    <row r="6">
      <c r="A6" s="54" t="s">
        <v>140</v>
      </c>
      <c r="C6" s="26" t="s">
        <v>148</v>
      </c>
    </row>
    <row r="7">
      <c r="A7" s="54" t="s">
        <v>174</v>
      </c>
      <c r="C7" s="32" t="s">
        <v>150</v>
      </c>
    </row>
    <row r="8">
      <c r="A8" s="69" t="s">
        <v>175</v>
      </c>
      <c r="C8" s="32" t="s">
        <v>152</v>
      </c>
    </row>
    <row r="9">
      <c r="A9" s="33" t="s">
        <v>202</v>
      </c>
      <c r="C9" s="32" t="s">
        <v>154</v>
      </c>
    </row>
    <row r="10">
      <c r="A10" s="54" t="s">
        <v>167</v>
      </c>
      <c r="C10" s="26" t="s">
        <v>156</v>
      </c>
    </row>
    <row r="11">
      <c r="A11" s="54" t="s">
        <v>177</v>
      </c>
      <c r="C11" s="26" t="s">
        <v>158</v>
      </c>
    </row>
    <row r="12">
      <c r="A12" s="54" t="s">
        <v>142</v>
      </c>
      <c r="C12" s="32" t="s">
        <v>161</v>
      </c>
    </row>
    <row r="13">
      <c r="A13" s="70" t="s">
        <v>144</v>
      </c>
      <c r="C13" s="26" t="s">
        <v>163</v>
      </c>
    </row>
    <row r="14">
      <c r="A14" s="69" t="s">
        <v>146</v>
      </c>
      <c r="C14" s="26" t="s">
        <v>165</v>
      </c>
    </row>
    <row r="15">
      <c r="A15" s="54" t="s">
        <v>148</v>
      </c>
      <c r="C15" s="30" t="s">
        <v>167</v>
      </c>
    </row>
    <row r="16">
      <c r="A16" s="54" t="s">
        <v>173</v>
      </c>
      <c r="C16" s="26" t="s">
        <v>168</v>
      </c>
    </row>
    <row r="17">
      <c r="A17" s="54" t="s">
        <v>168</v>
      </c>
      <c r="C17" s="26" t="s">
        <v>169</v>
      </c>
    </row>
    <row r="18">
      <c r="A18" s="54" t="s">
        <v>169</v>
      </c>
      <c r="C18" s="30" t="s">
        <v>170</v>
      </c>
    </row>
    <row r="19">
      <c r="A19" s="53" t="s">
        <v>170</v>
      </c>
      <c r="C19" s="26" t="s">
        <v>171</v>
      </c>
    </row>
    <row r="20">
      <c r="A20" s="56" t="s">
        <v>150</v>
      </c>
      <c r="C20" s="4" t="s">
        <v>172</v>
      </c>
    </row>
    <row r="21">
      <c r="A21" s="56" t="s">
        <v>152</v>
      </c>
      <c r="C21" s="26" t="s">
        <v>173</v>
      </c>
    </row>
    <row r="22">
      <c r="A22" s="54" t="s">
        <v>224</v>
      </c>
      <c r="C22" s="26" t="s">
        <v>174</v>
      </c>
    </row>
    <row r="23">
      <c r="A23" s="56" t="s">
        <v>154</v>
      </c>
      <c r="C23" s="33" t="s">
        <v>175</v>
      </c>
    </row>
    <row r="24">
      <c r="A24" s="32" t="s">
        <v>203</v>
      </c>
      <c r="C24" s="30" t="s">
        <v>176</v>
      </c>
    </row>
    <row r="25">
      <c r="A25" s="54" t="s">
        <v>156</v>
      </c>
      <c r="C25" s="26" t="s">
        <v>177</v>
      </c>
    </row>
    <row r="26">
      <c r="A26" s="54" t="s">
        <v>158</v>
      </c>
      <c r="C26" s="26" t="s">
        <v>178</v>
      </c>
      <c r="E26" s="37"/>
    </row>
    <row r="27">
      <c r="A27" s="56" t="s">
        <v>161</v>
      </c>
      <c r="C27" s="29" t="s">
        <v>179</v>
      </c>
    </row>
    <row r="28">
      <c r="A28" s="71" t="s">
        <v>163</v>
      </c>
      <c r="C28" s="52" t="s">
        <v>180</v>
      </c>
    </row>
    <row r="29">
      <c r="A29" s="54" t="s">
        <v>204</v>
      </c>
      <c r="B29" s="72"/>
      <c r="C29" s="42" t="s">
        <v>202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66" t="s">
        <v>172</v>
      </c>
      <c r="C30" s="32" t="s">
        <v>203</v>
      </c>
    </row>
    <row r="31">
      <c r="A31" s="38" t="s">
        <v>225</v>
      </c>
      <c r="C31" s="26" t="s">
        <v>204</v>
      </c>
    </row>
    <row r="32">
      <c r="A32" s="66" t="s">
        <v>205</v>
      </c>
      <c r="C32" s="34" t="s">
        <v>205</v>
      </c>
    </row>
    <row r="33">
      <c r="A33" s="66" t="s">
        <v>206</v>
      </c>
      <c r="C33" s="38" t="s">
        <v>206</v>
      </c>
    </row>
    <row r="34">
      <c r="A34" s="66" t="s">
        <v>207</v>
      </c>
      <c r="C34" s="38" t="s">
        <v>207</v>
      </c>
    </row>
    <row r="35">
      <c r="A35" s="66" t="s">
        <v>208</v>
      </c>
      <c r="C35" s="38" t="s">
        <v>208</v>
      </c>
    </row>
    <row r="36">
      <c r="A36" s="73" t="s">
        <v>209</v>
      </c>
      <c r="C36" s="43" t="s">
        <v>209</v>
      </c>
    </row>
    <row r="37">
      <c r="A37" s="66" t="s">
        <v>210</v>
      </c>
      <c r="C37" s="38" t="s">
        <v>210</v>
      </c>
    </row>
    <row r="38">
      <c r="A38" s="57" t="s">
        <v>212</v>
      </c>
      <c r="C38" s="38" t="s">
        <v>211</v>
      </c>
    </row>
    <row r="39">
      <c r="A39" s="66" t="s">
        <v>211</v>
      </c>
      <c r="C39" s="38" t="s">
        <v>212</v>
      </c>
    </row>
    <row r="40">
      <c r="A40" s="74"/>
      <c r="C40" s="39"/>
    </row>
  </sheetData>
  <drawing r:id="rId1"/>
</worksheet>
</file>